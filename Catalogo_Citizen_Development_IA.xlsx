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53eb9e141bc344d5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iqueyanbal-my.sharepoint.com/personal/luis_castro_yanbal_com/Documents/LCV/Proyecto/2026/23 - Catalogo de Apps IA/"/>
    </mc:Choice>
  </mc:AlternateContent>
  <xr:revisionPtr revIDLastSave="0" documentId="8_{B07B5DC3-9641-486F-9758-34EBD8AE5C3C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Inventario" sheetId="1" r:id="rId1"/>
    <sheet name="Catalogo de plataformas" sheetId="2" r:id="rId2"/>
    <sheet name="Resumen" sheetId="3" r:id="rId3"/>
  </sheets>
  <definedNames>
    <definedName name="PlataformasAprobadas">'Catalogo de plataformas'!$A$3:$A$12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3" l="1"/>
  <c r="B22" i="3"/>
  <c r="B21" i="3"/>
  <c r="B20" i="3"/>
  <c r="B19" i="3"/>
  <c r="B18" i="3"/>
  <c r="B15" i="3"/>
  <c r="B14" i="3"/>
  <c r="B13" i="3"/>
  <c r="B12" i="3"/>
  <c r="B11" i="3"/>
  <c r="B10" i="3"/>
  <c r="B7" i="3"/>
  <c r="T60" i="1"/>
  <c r="P60" i="1"/>
  <c r="T59" i="1"/>
  <c r="P59" i="1"/>
  <c r="T58" i="1"/>
  <c r="P58" i="1"/>
  <c r="T57" i="1"/>
  <c r="P57" i="1"/>
  <c r="T56" i="1"/>
  <c r="P56" i="1"/>
  <c r="T55" i="1"/>
  <c r="P55" i="1"/>
  <c r="T54" i="1"/>
  <c r="P54" i="1"/>
  <c r="T53" i="1"/>
  <c r="P53" i="1"/>
  <c r="T52" i="1"/>
  <c r="P52" i="1"/>
  <c r="T51" i="1"/>
  <c r="P51" i="1"/>
  <c r="T50" i="1"/>
  <c r="P50" i="1"/>
  <c r="T49" i="1"/>
  <c r="P49" i="1"/>
  <c r="T48" i="1"/>
  <c r="P48" i="1"/>
  <c r="T47" i="1"/>
  <c r="P47" i="1"/>
  <c r="T46" i="1"/>
  <c r="P46" i="1"/>
  <c r="T45" i="1"/>
  <c r="P45" i="1"/>
  <c r="T44" i="1"/>
  <c r="P44" i="1"/>
  <c r="T43" i="1"/>
  <c r="P43" i="1"/>
  <c r="T42" i="1"/>
  <c r="P42" i="1"/>
  <c r="T41" i="1"/>
  <c r="P41" i="1"/>
  <c r="T40" i="1"/>
  <c r="P40" i="1"/>
  <c r="T39" i="1"/>
  <c r="P39" i="1"/>
  <c r="T38" i="1"/>
  <c r="P38" i="1"/>
  <c r="T37" i="1"/>
  <c r="P37" i="1"/>
  <c r="T36" i="1"/>
  <c r="P36" i="1"/>
  <c r="T35" i="1"/>
  <c r="P35" i="1"/>
  <c r="T34" i="1"/>
  <c r="P34" i="1"/>
  <c r="T33" i="1"/>
  <c r="P33" i="1"/>
  <c r="T32" i="1"/>
  <c r="P32" i="1"/>
  <c r="T31" i="1"/>
  <c r="P31" i="1"/>
  <c r="T30" i="1"/>
  <c r="P30" i="1"/>
  <c r="T29" i="1"/>
  <c r="P29" i="1"/>
  <c r="T28" i="1"/>
  <c r="P28" i="1"/>
  <c r="T27" i="1"/>
  <c r="P27" i="1"/>
  <c r="T26" i="1"/>
  <c r="P26" i="1"/>
  <c r="T25" i="1"/>
  <c r="P25" i="1"/>
  <c r="T24" i="1"/>
  <c r="P24" i="1"/>
  <c r="T23" i="1"/>
  <c r="P23" i="1"/>
  <c r="T22" i="1"/>
  <c r="P22" i="1"/>
  <c r="T21" i="1"/>
  <c r="P21" i="1"/>
  <c r="T20" i="1"/>
  <c r="P20" i="1"/>
  <c r="T19" i="1"/>
  <c r="P19" i="1"/>
  <c r="T18" i="1"/>
  <c r="P18" i="1"/>
  <c r="T17" i="1"/>
  <c r="P17" i="1"/>
  <c r="T16" i="1"/>
  <c r="P16" i="1"/>
  <c r="T15" i="1"/>
  <c r="P15" i="1"/>
  <c r="T14" i="1"/>
  <c r="P14" i="1"/>
  <c r="T13" i="1"/>
  <c r="P13" i="1"/>
  <c r="T12" i="1"/>
  <c r="P12" i="1"/>
  <c r="T11" i="1"/>
  <c r="P11" i="1"/>
  <c r="T10" i="1"/>
  <c r="P10" i="1"/>
  <c r="T9" i="1"/>
  <c r="P9" i="1"/>
  <c r="T8" i="1"/>
  <c r="P8" i="1"/>
  <c r="T7" i="1"/>
  <c r="P7" i="1"/>
  <c r="P6" i="1"/>
  <c r="T6" i="1" s="1"/>
  <c r="P5" i="1"/>
  <c r="T5" i="1" s="1"/>
  <c r="P4" i="1"/>
  <c r="T4" i="1" s="1"/>
  <c r="P3" i="1"/>
  <c r="T3" i="1" s="1"/>
  <c r="B6" i="3" l="1"/>
  <c r="B4" i="3"/>
  <c r="B5" i="3"/>
  <c r="B26" i="3"/>
</calcChain>
</file>

<file path=xl/sharedStrings.xml><?xml version="1.0" encoding="utf-8"?>
<sst xmlns="http://schemas.openxmlformats.org/spreadsheetml/2006/main" count="121" uniqueCount="93">
  <si>
    <t>INSTRUCCIONES: complete una fila por cada solucion de Citizen Development. Las columnas J a O activan el calculo automatico de la columna 'Nivel de riesgo' (P) - no editar P ni T manualmente. Las filas 3-6 son EJEMPLOS (fondo gris) - bórrelas antes de usar el archivo real.</t>
  </si>
  <si>
    <t>ID</t>
  </si>
  <si>
    <t>Nombre de la solucion</t>
  </si>
  <si>
    <t>Tipo</t>
  </si>
  <si>
    <t>Descripcion breve</t>
  </si>
  <si>
    <t>Usuario / dueño</t>
  </si>
  <si>
    <t>Area</t>
  </si>
  <si>
    <t>Pais</t>
  </si>
  <si>
    <t>Herramienta utilizada</t>
  </si>
  <si>
    <t>Fecha de creacion</t>
  </si>
  <si>
    <t>Alcance de uso</t>
  </si>
  <si>
    <t>Usa datos personales (PII)?</t>
  </si>
  <si>
    <t>Nivel de riesgo</t>
  </si>
  <si>
    <t>Estado</t>
  </si>
  <si>
    <t>Revisado por</t>
  </si>
  <si>
    <t>Fecha de ultima revision</t>
  </si>
  <si>
    <t>Proxima revision periodica</t>
  </si>
  <si>
    <t>Comentarios / observaciones</t>
  </si>
  <si>
    <t>CD-2026-001</t>
  </si>
  <si>
    <t>Dashboard personal de seguimiento de tickets</t>
  </si>
  <si>
    <t>Dashboard</t>
  </si>
  <si>
    <t>Vista personal en Power BI de tickets propios del area de IT Run</t>
  </si>
  <si>
    <t>Jean Paul Corrales</t>
  </si>
  <si>
    <t>IT Run</t>
  </si>
  <si>
    <t>Peru</t>
  </si>
  <si>
    <t>Power BI</t>
  </si>
  <si>
    <t>No</t>
  </si>
  <si>
    <t>Personal</t>
  </si>
  <si>
    <t>Sandbox personal</t>
  </si>
  <si>
    <t>Registrado</t>
  </si>
  <si>
    <t>N/A - autoregistro</t>
  </si>
  <si>
    <t>Ejemplo - uso individual, sin riesgo</t>
  </si>
  <si>
    <t>CD-2026-002</t>
  </si>
  <si>
    <t>Reporte de ventas por consultora - Ecuador</t>
  </si>
  <si>
    <t>Reporte</t>
  </si>
  <si>
    <t>Reporte compartido con el equipo comercial de Ecuador</t>
  </si>
  <si>
    <t>Maria Fernanda Rios</t>
  </si>
  <si>
    <t>Comercial</t>
  </si>
  <si>
    <t>Ecuador</t>
  </si>
  <si>
    <t>Departamental</t>
  </si>
  <si>
    <t>Entorno compartido</t>
  </si>
  <si>
    <t>En revision</t>
  </si>
  <si>
    <t>Comite de Citizen Development</t>
  </si>
  <si>
    <t>Ejemplo - uso departamental, revision ligera</t>
  </si>
  <si>
    <t>CD-2026-003</t>
  </si>
  <si>
    <t>Agente de seguimiento comercial con datos de clientes</t>
  </si>
  <si>
    <t>Agente de IA</t>
  </si>
  <si>
    <t>Automatizacion que consulta el CRM y envia alertas con datos de clientes</t>
  </si>
  <si>
    <t>Carlos Medina</t>
  </si>
  <si>
    <t>Corporativo</t>
  </si>
  <si>
    <t>Copilot Studio</t>
  </si>
  <si>
    <t>Si</t>
  </si>
  <si>
    <t>Multi-pais</t>
  </si>
  <si>
    <t>Aprobado - Comite N-1</t>
  </si>
  <si>
    <t>Comite N-1</t>
  </si>
  <si>
    <t>Ejemplo - requiere aprobacion ejecutiva por PII y conexion a CRM</t>
  </si>
  <si>
    <t>CD-2026-004</t>
  </si>
  <si>
    <t>Portal publico de preguntas frecuentes para clientes</t>
  </si>
  <si>
    <t>App</t>
  </si>
  <si>
    <t>Chatbot publicado en la web para responder preguntas frecuentes de clientes</t>
  </si>
  <si>
    <t>Ana Torres</t>
  </si>
  <si>
    <t>Atencion al cliente</t>
  </si>
  <si>
    <t>Claude</t>
  </si>
  <si>
    <t>Multi-area</t>
  </si>
  <si>
    <t>Rechazado</t>
  </si>
  <si>
    <t>Ejemplo - rechazado por exposicion publica sin validacion de seguridad</t>
  </si>
  <si>
    <t>Catalogo de plataformas de IA corporativa aprobadas para Citizen Development. PENDIENTE DE DEFINICION - la fila 3 es un ejemplo de formato, complete con el catalogo real.</t>
  </si>
  <si>
    <t>Plataforma</t>
  </si>
  <si>
    <t>Categoria</t>
  </si>
  <si>
    <t>Comentario</t>
  </si>
  <si>
    <t>Ej: Microsoft 365 Copilot</t>
  </si>
  <si>
    <t>Transversal</t>
  </si>
  <si>
    <t>En evaluacion</t>
  </si>
  <si>
    <t>Fila de ejemplo - completar con el catalogo real, no usar como decision oficial</t>
  </si>
  <si>
    <t>Resumen del inventario de Citizen Development</t>
  </si>
  <si>
    <t>Soluciones por nivel de riesgo</t>
  </si>
  <si>
    <t>Nivel 1</t>
  </si>
  <si>
    <t>Nivel 2</t>
  </si>
  <si>
    <t>Nivel 3</t>
  </si>
  <si>
    <t>Total registrado</t>
  </si>
  <si>
    <t>Soluciones por estado</t>
  </si>
  <si>
    <t>Aprobado - Comite Citizen Dev</t>
  </si>
  <si>
    <t>Reclasificado</t>
  </si>
  <si>
    <t>Soluciones por area (ejemplo - ajustar segun areas reales)</t>
  </si>
  <si>
    <t>RRHH</t>
  </si>
  <si>
    <t>Marketing</t>
  </si>
  <si>
    <t>Finanzas</t>
  </si>
  <si>
    <t>Seguimiento</t>
  </si>
  <si>
    <t>Revisiones periodicas vencidas</t>
  </si>
  <si>
    <t>Requiere conexion a sistema central / Data Lake?</t>
  </si>
  <si>
    <t>Es parte de un Proceso critico de negocio?</t>
  </si>
  <si>
    <t>Requiere Publicación a Internet?</t>
  </si>
  <si>
    <t>Requiere Infraestructura dedicada?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</si>
</sst>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Calibri"/>
      <family val="2"/>
      <charset val="1"/>
    </font>
    <font>
      <b/>
      <sz val="9.5"/>
      <color rgb="FF7A4E14"/>
      <name val="Arial"/>
      <family val="2"/>
    </font>
    <font>
      <b/>
      <sz val="10.5"/>
      <color rgb="FFFFFFFF"/>
      <name val="Arial"/>
      <family val="2"/>
    </font>
    <font>
      <i/>
      <sz val="9.5"/>
      <color rgb="FF5B5A54"/>
      <name val="Arial"/>
      <family val="2"/>
    </font>
    <font>
      <sz val="10"/>
      <name val="Arial"/>
      <family val="2"/>
    </font>
    <font>
      <b/>
      <sz val="13"/>
      <color rgb="FF1B2A4A"/>
      <name val="Arial"/>
      <family val="2"/>
    </font>
    <font>
      <b/>
      <sz val="10.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DF0DC"/>
        <bgColor rgb="FFFBEFD9"/>
      </patternFill>
    </fill>
    <fill>
      <patternFill patternType="solid">
        <fgColor rgb="FF1B2A4A"/>
        <bgColor rgb="FF003366"/>
      </patternFill>
    </fill>
    <fill>
      <patternFill patternType="solid">
        <fgColor rgb="FFF2F1EC"/>
        <bgColor rgb="FFFDF0DC"/>
      </patternFill>
    </fill>
    <fill>
      <patternFill patternType="solid">
        <fgColor rgb="FF92D050"/>
        <bgColor rgb="FF003366"/>
      </patternFill>
    </fill>
  </fills>
  <borders count="2">
    <border>
      <left/>
      <right/>
      <top/>
      <bottom/>
      <diagonal/>
    </border>
    <border>
      <left style="thin">
        <color rgb="FFD8D6CE"/>
      </left>
      <right style="thin">
        <color rgb="FFD8D6CE"/>
      </right>
      <top style="thin">
        <color rgb="FFD8D6CE"/>
      </top>
      <bottom style="thin">
        <color rgb="FFD8D6C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164" fontId="3" fillId="4" borderId="1" xfId="0" applyNumberFormat="1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3" borderId="0" xfId="0" applyFill="1"/>
    <xf numFmtId="0" fontId="4" fillId="0" borderId="1" xfId="0" applyFont="1" applyBorder="1"/>
    <xf numFmtId="0" fontId="6" fillId="0" borderId="1" xfId="0" applyFont="1" applyBorder="1"/>
    <xf numFmtId="0" fontId="2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3">
    <dxf>
      <fill>
        <patternFill>
          <bgColor rgb="FFFBE9E2"/>
        </patternFill>
      </fill>
    </dxf>
    <dxf>
      <fill>
        <patternFill>
          <bgColor rgb="FFFBEFD9"/>
        </patternFill>
      </fill>
    </dxf>
    <dxf>
      <fill>
        <patternFill>
          <bgColor rgb="FFE3F3E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0DC"/>
      <rgbColor rgb="FFE3F3EC"/>
      <rgbColor rgb="FF660066"/>
      <rgbColor rgb="FFFF8080"/>
      <rgbColor rgb="FF0066CC"/>
      <rgbColor rgb="FFD8D6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1EC"/>
      <rgbColor rgb="FFFBE9E2"/>
      <rgbColor rgb="FFFBEFD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A54"/>
      <rgbColor rgb="FF969696"/>
      <rgbColor rgb="FF003366"/>
      <rgbColor rgb="FF339966"/>
      <rgbColor rgb="FF003300"/>
      <rgbColor rgb="FF333300"/>
      <rgbColor rgb="FF7A4E14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Inventario" displayName="TablaInventario" ref="A2:U60" totalsRowShown="0">
  <autoFilter ref="A2:U60" xr:uid="{00000000-0009-0000-0100-000001000000}"/>
  <tableColumns count="21">
    <tableColumn id="1" xr3:uid="{00000000-0010-0000-0000-000001000000}" name="ID"/>
    <tableColumn id="2" xr3:uid="{00000000-0010-0000-0000-000002000000}" name="Nombre de la solucion"/>
    <tableColumn id="3" xr3:uid="{00000000-0010-0000-0000-000003000000}" name="Tipo"/>
    <tableColumn id="4" xr3:uid="{00000000-0010-0000-0000-000004000000}" name="Descripcion breve"/>
    <tableColumn id="5" xr3:uid="{00000000-0010-0000-0000-000005000000}" name="Usuario / dueño"/>
    <tableColumn id="6" xr3:uid="{00000000-0010-0000-0000-000006000000}" name="Area"/>
    <tableColumn id="7" xr3:uid="{00000000-0010-0000-0000-000007000000}" name="Pais"/>
    <tableColumn id="8" xr3:uid="{00000000-0010-0000-0000-000008000000}" name="Herramienta utilizada"/>
    <tableColumn id="9" xr3:uid="{00000000-0010-0000-0000-000009000000}" name="Fecha de creacion"/>
    <tableColumn id="10" xr3:uid="{00000000-0010-0000-0000-00000A000000}" name="Es parte de un Proceso critico de negocio?"/>
    <tableColumn id="11" xr3:uid="{00000000-0010-0000-0000-00000B000000}" name="Alcance de uso"/>
    <tableColumn id="12" xr3:uid="{00000000-0010-0000-0000-00000C000000}" name="Requiere conexion a sistema central / Data Lake?"/>
    <tableColumn id="13" xr3:uid="{00000000-0010-0000-0000-00000D000000}" name="Usa datos personales (PII)?"/>
    <tableColumn id="14" xr3:uid="{00000000-0010-0000-0000-00000E000000}" name="Requiere Publicación a Internet?"/>
    <tableColumn id="15" xr3:uid="{00000000-0010-0000-0000-00000F000000}" name="Requiere Infraestructura dedicada?"/>
    <tableColumn id="16" xr3:uid="{00000000-0010-0000-0000-000010000000}" name="Nivel de riesgo"/>
    <tableColumn id="17" xr3:uid="{00000000-0010-0000-0000-000011000000}" name="Estado"/>
    <tableColumn id="18" xr3:uid="{00000000-0010-0000-0000-000012000000}" name="Revisado por"/>
    <tableColumn id="19" xr3:uid="{00000000-0010-0000-0000-000013000000}" name="Fecha de ultima revision"/>
    <tableColumn id="20" xr3:uid="{00000000-0010-0000-0000-000014000000}" name="Proxima revision periodica"/>
    <tableColumn id="21" xr3:uid="{00000000-0010-0000-0000-000015000000}" name="Comentarios / observacion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"/>
  <sheetViews>
    <sheetView tabSelected="1" zoomScale="120" zoomScaleNormal="120" workbookViewId="0">
      <pane ySplit="2" topLeftCell="A3" activePane="bottomLeft" state="frozen"/>
      <selection pane="bottomLeft" activeCell="A2" sqref="A2"/>
    </sheetView>
  </sheetViews>
  <sheetFormatPr baseColWidth="10" defaultColWidth="8.7109375" defaultRowHeight="15" x14ac:dyDescent="0.25"/>
  <cols>
    <col min="1" max="1" width="12" customWidth="1"/>
    <col min="2" max="2" width="30" customWidth="1"/>
    <col min="3" max="3" width="14" customWidth="1"/>
    <col min="4" max="4" width="32" customWidth="1"/>
    <col min="5" max="5" width="18" customWidth="1"/>
    <col min="6" max="6" width="14" customWidth="1"/>
    <col min="7" max="7" width="12" customWidth="1"/>
    <col min="8" max="8" width="18" customWidth="1"/>
    <col min="9" max="9" width="14" customWidth="1"/>
    <col min="10" max="10" width="16" customWidth="1"/>
    <col min="11" max="11" width="15" customWidth="1"/>
    <col min="12" max="12" width="18" customWidth="1"/>
    <col min="13" max="15" width="16" customWidth="1"/>
    <col min="16" max="16" width="12" customWidth="1"/>
    <col min="17" max="18" width="22" customWidth="1"/>
    <col min="19" max="19" width="16" customWidth="1"/>
    <col min="20" max="20" width="18" customWidth="1"/>
    <col min="21" max="21" width="30" customWidth="1"/>
  </cols>
  <sheetData>
    <row r="1" spans="1:21" ht="31.5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51.95" customHeight="1" x14ac:dyDescent="0.25">
      <c r="A2" s="1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90</v>
      </c>
      <c r="K2" s="1" t="s">
        <v>10</v>
      </c>
      <c r="L2" s="1" t="s">
        <v>89</v>
      </c>
      <c r="M2" s="1" t="s">
        <v>11</v>
      </c>
      <c r="N2" s="1" t="s">
        <v>91</v>
      </c>
      <c r="O2" s="1" t="s">
        <v>92</v>
      </c>
      <c r="P2" s="12" t="s">
        <v>12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17</v>
      </c>
    </row>
    <row r="3" spans="1:21" ht="25.5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3">
        <v>46063</v>
      </c>
      <c r="J3" s="2" t="s">
        <v>51</v>
      </c>
      <c r="K3" s="2" t="s">
        <v>27</v>
      </c>
      <c r="L3" s="2" t="s">
        <v>26</v>
      </c>
      <c r="M3" s="2" t="s">
        <v>26</v>
      </c>
      <c r="N3" s="2" t="s">
        <v>26</v>
      </c>
      <c r="O3" s="2" t="s">
        <v>28</v>
      </c>
      <c r="P3" s="4" t="str">
        <f t="shared" ref="P3:P34" si="0">IF($A3="","",IF(OR(J3="Si",L3="Si",M3="Si",N3="Si",O3="Si"),"Nivel 3",IF(OR(K3="Departamental",K3="Multi-area",K3="Multi-pais"),"Nivel 2","Nivel 1")))</f>
        <v>Nivel 3</v>
      </c>
      <c r="Q3" s="2" t="s">
        <v>29</v>
      </c>
      <c r="R3" s="2" t="s">
        <v>30</v>
      </c>
      <c r="S3" s="3">
        <v>46063</v>
      </c>
      <c r="T3" s="3" t="str">
        <f t="shared" ref="T3:T34" si="1">IF(S3="","",IF(OR(P3="Nivel 1",P3="Nivel 2"),S3+180,"N/A"))</f>
        <v>N/A</v>
      </c>
      <c r="U3" s="2" t="s">
        <v>31</v>
      </c>
    </row>
    <row r="4" spans="1:21" ht="25.5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25</v>
      </c>
      <c r="I4" s="3">
        <v>46037</v>
      </c>
      <c r="J4" s="2" t="s">
        <v>26</v>
      </c>
      <c r="K4" s="2" t="s">
        <v>39</v>
      </c>
      <c r="L4" s="2" t="s">
        <v>26</v>
      </c>
      <c r="M4" s="2" t="s">
        <v>26</v>
      </c>
      <c r="N4" s="2" t="s">
        <v>26</v>
      </c>
      <c r="O4" s="2" t="s">
        <v>40</v>
      </c>
      <c r="P4" s="4" t="str">
        <f t="shared" si="0"/>
        <v>Nivel 2</v>
      </c>
      <c r="Q4" s="2" t="s">
        <v>41</v>
      </c>
      <c r="R4" s="2" t="s">
        <v>42</v>
      </c>
      <c r="S4" s="3">
        <v>46042</v>
      </c>
      <c r="T4" s="3">
        <f t="shared" si="1"/>
        <v>46222</v>
      </c>
      <c r="U4" s="2" t="s">
        <v>43</v>
      </c>
    </row>
    <row r="5" spans="1:21" ht="38.25" x14ac:dyDescent="0.25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37</v>
      </c>
      <c r="G5" s="2" t="s">
        <v>49</v>
      </c>
      <c r="H5" s="2" t="s">
        <v>50</v>
      </c>
      <c r="I5" s="3">
        <v>46082</v>
      </c>
      <c r="J5" s="2" t="s">
        <v>51</v>
      </c>
      <c r="K5" s="2" t="s">
        <v>52</v>
      </c>
      <c r="L5" s="2" t="s">
        <v>51</v>
      </c>
      <c r="M5" s="2" t="s">
        <v>51</v>
      </c>
      <c r="N5" s="2" t="s">
        <v>26</v>
      </c>
      <c r="O5" s="2" t="s">
        <v>51</v>
      </c>
      <c r="P5" s="4" t="str">
        <f t="shared" si="0"/>
        <v>Nivel 3</v>
      </c>
      <c r="Q5" s="2" t="s">
        <v>53</v>
      </c>
      <c r="R5" s="2" t="s">
        <v>54</v>
      </c>
      <c r="S5" s="3">
        <v>46091</v>
      </c>
      <c r="T5" s="3" t="str">
        <f t="shared" si="1"/>
        <v>N/A</v>
      </c>
      <c r="U5" s="2" t="s">
        <v>55</v>
      </c>
    </row>
    <row r="6" spans="1:21" ht="38.25" x14ac:dyDescent="0.25">
      <c r="A6" s="2" t="s">
        <v>56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61</v>
      </c>
      <c r="G6" s="2" t="s">
        <v>49</v>
      </c>
      <c r="H6" s="2" t="s">
        <v>62</v>
      </c>
      <c r="I6" s="3">
        <v>46073</v>
      </c>
      <c r="J6" s="2" t="s">
        <v>26</v>
      </c>
      <c r="K6" s="2" t="s">
        <v>63</v>
      </c>
      <c r="L6" s="2" t="s">
        <v>26</v>
      </c>
      <c r="M6" s="2" t="s">
        <v>26</v>
      </c>
      <c r="N6" s="2" t="s">
        <v>51</v>
      </c>
      <c r="O6" s="2" t="s">
        <v>51</v>
      </c>
      <c r="P6" s="4" t="str">
        <f t="shared" si="0"/>
        <v>Nivel 3</v>
      </c>
      <c r="Q6" s="2" t="s">
        <v>64</v>
      </c>
      <c r="R6" s="2" t="s">
        <v>42</v>
      </c>
      <c r="S6" s="3">
        <v>46078</v>
      </c>
      <c r="T6" s="3" t="str">
        <f t="shared" si="1"/>
        <v>N/A</v>
      </c>
      <c r="U6" s="2" t="s">
        <v>65</v>
      </c>
    </row>
    <row r="7" spans="1:21" x14ac:dyDescent="0.25">
      <c r="A7" s="5"/>
      <c r="B7" s="5"/>
      <c r="C7" s="5"/>
      <c r="D7" s="5"/>
      <c r="E7" s="5"/>
      <c r="F7" s="5"/>
      <c r="G7" s="5"/>
      <c r="H7" s="5"/>
      <c r="I7" s="6"/>
      <c r="J7" s="5"/>
      <c r="K7" s="5"/>
      <c r="L7" s="5"/>
      <c r="M7" s="5"/>
      <c r="N7" s="5"/>
      <c r="O7" s="5"/>
      <c r="P7" s="5" t="str">
        <f t="shared" si="0"/>
        <v/>
      </c>
      <c r="Q7" s="5"/>
      <c r="R7" s="5"/>
      <c r="S7" s="6"/>
      <c r="T7" s="6" t="str">
        <f t="shared" si="1"/>
        <v/>
      </c>
      <c r="U7" s="5"/>
    </row>
    <row r="8" spans="1:21" x14ac:dyDescent="0.25">
      <c r="A8" s="5"/>
      <c r="B8" s="5"/>
      <c r="C8" s="5"/>
      <c r="D8" s="5"/>
      <c r="E8" s="5"/>
      <c r="F8" s="5"/>
      <c r="G8" s="5"/>
      <c r="H8" s="5"/>
      <c r="I8" s="6"/>
      <c r="J8" s="5"/>
      <c r="K8" s="5"/>
      <c r="L8" s="5"/>
      <c r="M8" s="5"/>
      <c r="N8" s="5"/>
      <c r="O8" s="5"/>
      <c r="P8" s="5" t="str">
        <f t="shared" si="0"/>
        <v/>
      </c>
      <c r="Q8" s="5"/>
      <c r="R8" s="5"/>
      <c r="S8" s="6"/>
      <c r="T8" s="6" t="str">
        <f t="shared" si="1"/>
        <v/>
      </c>
      <c r="U8" s="5"/>
    </row>
    <row r="9" spans="1:21" x14ac:dyDescent="0.25">
      <c r="A9" s="5"/>
      <c r="B9" s="5"/>
      <c r="C9" s="5"/>
      <c r="D9" s="5"/>
      <c r="E9" s="5"/>
      <c r="F9" s="5"/>
      <c r="G9" s="5"/>
      <c r="H9" s="5"/>
      <c r="I9" s="6"/>
      <c r="J9" s="5"/>
      <c r="K9" s="5"/>
      <c r="L9" s="5"/>
      <c r="M9" s="5"/>
      <c r="N9" s="5"/>
      <c r="O9" s="5"/>
      <c r="P9" s="5" t="str">
        <f t="shared" si="0"/>
        <v/>
      </c>
      <c r="Q9" s="5"/>
      <c r="R9" s="5"/>
      <c r="S9" s="6"/>
      <c r="T9" s="6" t="str">
        <f t="shared" si="1"/>
        <v/>
      </c>
      <c r="U9" s="5"/>
    </row>
    <row r="10" spans="1:21" x14ac:dyDescent="0.25">
      <c r="A10" s="5"/>
      <c r="B10" s="5"/>
      <c r="C10" s="5"/>
      <c r="D10" s="5"/>
      <c r="E10" s="5"/>
      <c r="F10" s="5"/>
      <c r="G10" s="5"/>
      <c r="H10" s="5"/>
      <c r="I10" s="6"/>
      <c r="J10" s="5"/>
      <c r="K10" s="5"/>
      <c r="L10" s="5"/>
      <c r="M10" s="5"/>
      <c r="N10" s="5"/>
      <c r="O10" s="5"/>
      <c r="P10" s="5" t="str">
        <f t="shared" si="0"/>
        <v/>
      </c>
      <c r="Q10" s="5"/>
      <c r="R10" s="5"/>
      <c r="S10" s="6"/>
      <c r="T10" s="6" t="str">
        <f t="shared" si="1"/>
        <v/>
      </c>
      <c r="U10" s="5"/>
    </row>
    <row r="11" spans="1:21" x14ac:dyDescent="0.25">
      <c r="A11" s="5"/>
      <c r="B11" s="5"/>
      <c r="C11" s="5"/>
      <c r="D11" s="5"/>
      <c r="E11" s="5"/>
      <c r="F11" s="5"/>
      <c r="G11" s="5"/>
      <c r="H11" s="5"/>
      <c r="I11" s="6"/>
      <c r="J11" s="5"/>
      <c r="K11" s="5"/>
      <c r="L11" s="5"/>
      <c r="M11" s="5"/>
      <c r="N11" s="5"/>
      <c r="O11" s="5"/>
      <c r="P11" s="5" t="str">
        <f t="shared" si="0"/>
        <v/>
      </c>
      <c r="Q11" s="5"/>
      <c r="R11" s="5"/>
      <c r="S11" s="6"/>
      <c r="T11" s="6" t="str">
        <f t="shared" si="1"/>
        <v/>
      </c>
      <c r="U11" s="5"/>
    </row>
    <row r="12" spans="1:21" x14ac:dyDescent="0.25">
      <c r="A12" s="5"/>
      <c r="B12" s="5"/>
      <c r="C12" s="5"/>
      <c r="D12" s="5"/>
      <c r="E12" s="5"/>
      <c r="F12" s="5"/>
      <c r="G12" s="5"/>
      <c r="H12" s="5"/>
      <c r="I12" s="6"/>
      <c r="J12" s="5"/>
      <c r="K12" s="5"/>
      <c r="L12" s="5"/>
      <c r="M12" s="5"/>
      <c r="N12" s="5"/>
      <c r="O12" s="5"/>
      <c r="P12" s="5" t="str">
        <f t="shared" si="0"/>
        <v/>
      </c>
      <c r="Q12" s="5"/>
      <c r="R12" s="5"/>
      <c r="S12" s="6"/>
      <c r="T12" s="6" t="str">
        <f t="shared" si="1"/>
        <v/>
      </c>
      <c r="U12" s="5"/>
    </row>
    <row r="13" spans="1:21" x14ac:dyDescent="0.25">
      <c r="A13" s="5"/>
      <c r="B13" s="5"/>
      <c r="C13" s="5"/>
      <c r="D13" s="5"/>
      <c r="E13" s="5"/>
      <c r="F13" s="5"/>
      <c r="G13" s="5"/>
      <c r="H13" s="5"/>
      <c r="I13" s="6"/>
      <c r="J13" s="5"/>
      <c r="K13" s="5"/>
      <c r="L13" s="5"/>
      <c r="M13" s="5"/>
      <c r="N13" s="5"/>
      <c r="O13" s="5"/>
      <c r="P13" s="5" t="str">
        <f t="shared" si="0"/>
        <v/>
      </c>
      <c r="Q13" s="5"/>
      <c r="R13" s="5"/>
      <c r="S13" s="6"/>
      <c r="T13" s="6" t="str">
        <f t="shared" si="1"/>
        <v/>
      </c>
      <c r="U13" s="5"/>
    </row>
    <row r="14" spans="1:21" x14ac:dyDescent="0.25">
      <c r="A14" s="5"/>
      <c r="B14" s="5"/>
      <c r="C14" s="5"/>
      <c r="D14" s="5"/>
      <c r="E14" s="5"/>
      <c r="F14" s="5"/>
      <c r="G14" s="5"/>
      <c r="H14" s="5"/>
      <c r="I14" s="6"/>
      <c r="J14" s="5"/>
      <c r="K14" s="5"/>
      <c r="L14" s="5"/>
      <c r="M14" s="5"/>
      <c r="N14" s="5"/>
      <c r="O14" s="5"/>
      <c r="P14" s="5" t="str">
        <f t="shared" si="0"/>
        <v/>
      </c>
      <c r="Q14" s="5"/>
      <c r="R14" s="5"/>
      <c r="S14" s="6"/>
      <c r="T14" s="6" t="str">
        <f t="shared" si="1"/>
        <v/>
      </c>
      <c r="U14" s="5"/>
    </row>
    <row r="15" spans="1:21" x14ac:dyDescent="0.25">
      <c r="A15" s="5"/>
      <c r="B15" s="5"/>
      <c r="C15" s="5"/>
      <c r="D15" s="5"/>
      <c r="E15" s="5"/>
      <c r="F15" s="5"/>
      <c r="G15" s="5"/>
      <c r="H15" s="5"/>
      <c r="I15" s="6"/>
      <c r="J15" s="5"/>
      <c r="K15" s="5"/>
      <c r="L15" s="5"/>
      <c r="M15" s="5"/>
      <c r="N15" s="5"/>
      <c r="O15" s="5"/>
      <c r="P15" s="5" t="str">
        <f t="shared" si="0"/>
        <v/>
      </c>
      <c r="Q15" s="5"/>
      <c r="R15" s="5"/>
      <c r="S15" s="6"/>
      <c r="T15" s="6" t="str">
        <f t="shared" si="1"/>
        <v/>
      </c>
      <c r="U15" s="5"/>
    </row>
    <row r="16" spans="1:21" x14ac:dyDescent="0.25">
      <c r="A16" s="5"/>
      <c r="B16" s="5"/>
      <c r="C16" s="5"/>
      <c r="D16" s="5"/>
      <c r="E16" s="5"/>
      <c r="F16" s="5"/>
      <c r="G16" s="5"/>
      <c r="H16" s="5"/>
      <c r="I16" s="6"/>
      <c r="J16" s="5"/>
      <c r="K16" s="5"/>
      <c r="L16" s="5"/>
      <c r="M16" s="5"/>
      <c r="N16" s="5"/>
      <c r="O16" s="5"/>
      <c r="P16" s="5" t="str">
        <f t="shared" si="0"/>
        <v/>
      </c>
      <c r="Q16" s="5"/>
      <c r="R16" s="5"/>
      <c r="S16" s="6"/>
      <c r="T16" s="6" t="str">
        <f t="shared" si="1"/>
        <v/>
      </c>
      <c r="U16" s="5"/>
    </row>
    <row r="17" spans="1:21" x14ac:dyDescent="0.25">
      <c r="A17" s="5"/>
      <c r="B17" s="5"/>
      <c r="C17" s="5"/>
      <c r="D17" s="5"/>
      <c r="E17" s="5"/>
      <c r="F17" s="5"/>
      <c r="G17" s="5"/>
      <c r="H17" s="5"/>
      <c r="I17" s="6"/>
      <c r="J17" s="5"/>
      <c r="K17" s="5"/>
      <c r="L17" s="5"/>
      <c r="M17" s="5"/>
      <c r="N17" s="5"/>
      <c r="O17" s="5"/>
      <c r="P17" s="5" t="str">
        <f t="shared" si="0"/>
        <v/>
      </c>
      <c r="Q17" s="5"/>
      <c r="R17" s="5"/>
      <c r="S17" s="6"/>
      <c r="T17" s="6" t="str">
        <f t="shared" si="1"/>
        <v/>
      </c>
      <c r="U17" s="5"/>
    </row>
    <row r="18" spans="1:21" x14ac:dyDescent="0.25">
      <c r="A18" s="5"/>
      <c r="B18" s="5"/>
      <c r="C18" s="5"/>
      <c r="D18" s="5"/>
      <c r="E18" s="5"/>
      <c r="F18" s="5"/>
      <c r="G18" s="5"/>
      <c r="H18" s="5"/>
      <c r="I18" s="6"/>
      <c r="J18" s="5"/>
      <c r="K18" s="5"/>
      <c r="L18" s="5"/>
      <c r="M18" s="5"/>
      <c r="N18" s="5"/>
      <c r="O18" s="5"/>
      <c r="P18" s="5" t="str">
        <f t="shared" si="0"/>
        <v/>
      </c>
      <c r="Q18" s="5"/>
      <c r="R18" s="5"/>
      <c r="S18" s="6"/>
      <c r="T18" s="6" t="str">
        <f t="shared" si="1"/>
        <v/>
      </c>
      <c r="U18" s="5"/>
    </row>
    <row r="19" spans="1:21" x14ac:dyDescent="0.25">
      <c r="A19" s="5"/>
      <c r="B19" s="5"/>
      <c r="C19" s="5"/>
      <c r="D19" s="5"/>
      <c r="E19" s="5"/>
      <c r="F19" s="5"/>
      <c r="G19" s="5"/>
      <c r="H19" s="5"/>
      <c r="I19" s="6"/>
      <c r="J19" s="5"/>
      <c r="K19" s="5"/>
      <c r="L19" s="5"/>
      <c r="M19" s="5"/>
      <c r="N19" s="5"/>
      <c r="O19" s="5"/>
      <c r="P19" s="5" t="str">
        <f t="shared" si="0"/>
        <v/>
      </c>
      <c r="Q19" s="5"/>
      <c r="R19" s="5"/>
      <c r="S19" s="6"/>
      <c r="T19" s="6" t="str">
        <f t="shared" si="1"/>
        <v/>
      </c>
      <c r="U19" s="5"/>
    </row>
    <row r="20" spans="1:21" x14ac:dyDescent="0.25">
      <c r="A20" s="5"/>
      <c r="B20" s="5"/>
      <c r="C20" s="5"/>
      <c r="D20" s="5"/>
      <c r="E20" s="5"/>
      <c r="F20" s="5"/>
      <c r="G20" s="5"/>
      <c r="H20" s="5"/>
      <c r="I20" s="6"/>
      <c r="J20" s="5"/>
      <c r="K20" s="5"/>
      <c r="L20" s="5"/>
      <c r="M20" s="5"/>
      <c r="N20" s="5"/>
      <c r="O20" s="5"/>
      <c r="P20" s="5" t="str">
        <f t="shared" si="0"/>
        <v/>
      </c>
      <c r="Q20" s="5"/>
      <c r="R20" s="5"/>
      <c r="S20" s="6"/>
      <c r="T20" s="6" t="str">
        <f t="shared" si="1"/>
        <v/>
      </c>
      <c r="U20" s="5"/>
    </row>
    <row r="21" spans="1:21" x14ac:dyDescent="0.25">
      <c r="A21" s="5"/>
      <c r="B21" s="5"/>
      <c r="C21" s="5"/>
      <c r="D21" s="5"/>
      <c r="E21" s="5"/>
      <c r="F21" s="5"/>
      <c r="G21" s="5"/>
      <c r="H21" s="5"/>
      <c r="I21" s="6"/>
      <c r="J21" s="5"/>
      <c r="K21" s="5"/>
      <c r="L21" s="5"/>
      <c r="M21" s="5"/>
      <c r="N21" s="5"/>
      <c r="O21" s="5"/>
      <c r="P21" s="5" t="str">
        <f t="shared" si="0"/>
        <v/>
      </c>
      <c r="Q21" s="5"/>
      <c r="R21" s="5"/>
      <c r="S21" s="6"/>
      <c r="T21" s="6" t="str">
        <f t="shared" si="1"/>
        <v/>
      </c>
      <c r="U21" s="5"/>
    </row>
    <row r="22" spans="1:21" x14ac:dyDescent="0.25">
      <c r="A22" s="5"/>
      <c r="B22" s="5"/>
      <c r="C22" s="5"/>
      <c r="D22" s="5"/>
      <c r="E22" s="5"/>
      <c r="F22" s="5"/>
      <c r="G22" s="5"/>
      <c r="H22" s="5"/>
      <c r="I22" s="6"/>
      <c r="J22" s="5"/>
      <c r="K22" s="5"/>
      <c r="L22" s="5"/>
      <c r="M22" s="5"/>
      <c r="N22" s="5"/>
      <c r="O22" s="5"/>
      <c r="P22" s="5" t="str">
        <f t="shared" si="0"/>
        <v/>
      </c>
      <c r="Q22" s="5"/>
      <c r="R22" s="5"/>
      <c r="S22" s="6"/>
      <c r="T22" s="6" t="str">
        <f t="shared" si="1"/>
        <v/>
      </c>
      <c r="U22" s="5"/>
    </row>
    <row r="23" spans="1:21" x14ac:dyDescent="0.25">
      <c r="A23" s="5"/>
      <c r="B23" s="5"/>
      <c r="C23" s="5"/>
      <c r="D23" s="5"/>
      <c r="E23" s="5"/>
      <c r="F23" s="5"/>
      <c r="G23" s="5"/>
      <c r="H23" s="5"/>
      <c r="I23" s="6"/>
      <c r="J23" s="5"/>
      <c r="K23" s="5"/>
      <c r="L23" s="5"/>
      <c r="M23" s="5"/>
      <c r="N23" s="5"/>
      <c r="O23" s="5"/>
      <c r="P23" s="5" t="str">
        <f t="shared" si="0"/>
        <v/>
      </c>
      <c r="Q23" s="5"/>
      <c r="R23" s="5"/>
      <c r="S23" s="6"/>
      <c r="T23" s="6" t="str">
        <f t="shared" si="1"/>
        <v/>
      </c>
      <c r="U23" s="5"/>
    </row>
    <row r="24" spans="1:21" x14ac:dyDescent="0.25">
      <c r="A24" s="5"/>
      <c r="B24" s="5"/>
      <c r="C24" s="5"/>
      <c r="D24" s="5"/>
      <c r="E24" s="5"/>
      <c r="F24" s="5"/>
      <c r="G24" s="5"/>
      <c r="H24" s="5"/>
      <c r="I24" s="6"/>
      <c r="J24" s="5"/>
      <c r="K24" s="5"/>
      <c r="L24" s="5"/>
      <c r="M24" s="5"/>
      <c r="N24" s="5"/>
      <c r="O24" s="5"/>
      <c r="P24" s="5" t="str">
        <f t="shared" si="0"/>
        <v/>
      </c>
      <c r="Q24" s="5"/>
      <c r="R24" s="5"/>
      <c r="S24" s="6"/>
      <c r="T24" s="6" t="str">
        <f t="shared" si="1"/>
        <v/>
      </c>
      <c r="U24" s="5"/>
    </row>
    <row r="25" spans="1:21" x14ac:dyDescent="0.25">
      <c r="A25" s="5"/>
      <c r="B25" s="5"/>
      <c r="C25" s="5"/>
      <c r="D25" s="5"/>
      <c r="E25" s="5"/>
      <c r="F25" s="5"/>
      <c r="G25" s="5"/>
      <c r="H25" s="5"/>
      <c r="I25" s="6"/>
      <c r="J25" s="5"/>
      <c r="K25" s="5"/>
      <c r="L25" s="5"/>
      <c r="M25" s="5"/>
      <c r="N25" s="5"/>
      <c r="O25" s="5"/>
      <c r="P25" s="5" t="str">
        <f t="shared" si="0"/>
        <v/>
      </c>
      <c r="Q25" s="5"/>
      <c r="R25" s="5"/>
      <c r="S25" s="6"/>
      <c r="T25" s="6" t="str">
        <f t="shared" si="1"/>
        <v/>
      </c>
      <c r="U25" s="5"/>
    </row>
    <row r="26" spans="1:21" x14ac:dyDescent="0.25">
      <c r="A26" s="5"/>
      <c r="B26" s="5"/>
      <c r="C26" s="5"/>
      <c r="D26" s="5"/>
      <c r="E26" s="5"/>
      <c r="F26" s="5"/>
      <c r="G26" s="5"/>
      <c r="H26" s="5"/>
      <c r="I26" s="6"/>
      <c r="J26" s="5"/>
      <c r="K26" s="5"/>
      <c r="L26" s="5"/>
      <c r="M26" s="5"/>
      <c r="N26" s="5"/>
      <c r="O26" s="5"/>
      <c r="P26" s="5" t="str">
        <f t="shared" si="0"/>
        <v/>
      </c>
      <c r="Q26" s="5"/>
      <c r="R26" s="5"/>
      <c r="S26" s="6"/>
      <c r="T26" s="6" t="str">
        <f t="shared" si="1"/>
        <v/>
      </c>
      <c r="U26" s="5"/>
    </row>
    <row r="27" spans="1:21" x14ac:dyDescent="0.25">
      <c r="A27" s="5"/>
      <c r="B27" s="5"/>
      <c r="C27" s="5"/>
      <c r="D27" s="5"/>
      <c r="E27" s="5"/>
      <c r="F27" s="5"/>
      <c r="G27" s="5"/>
      <c r="H27" s="5"/>
      <c r="I27" s="6"/>
      <c r="J27" s="5"/>
      <c r="K27" s="5"/>
      <c r="L27" s="5"/>
      <c r="M27" s="5"/>
      <c r="N27" s="5"/>
      <c r="O27" s="5"/>
      <c r="P27" s="5" t="str">
        <f t="shared" si="0"/>
        <v/>
      </c>
      <c r="Q27" s="5"/>
      <c r="R27" s="5"/>
      <c r="S27" s="6"/>
      <c r="T27" s="6" t="str">
        <f t="shared" si="1"/>
        <v/>
      </c>
      <c r="U27" s="5"/>
    </row>
    <row r="28" spans="1:21" x14ac:dyDescent="0.25">
      <c r="A28" s="5"/>
      <c r="B28" s="5"/>
      <c r="C28" s="5"/>
      <c r="D28" s="5"/>
      <c r="E28" s="5"/>
      <c r="F28" s="5"/>
      <c r="G28" s="5"/>
      <c r="H28" s="5"/>
      <c r="I28" s="6"/>
      <c r="J28" s="5"/>
      <c r="K28" s="5"/>
      <c r="L28" s="5"/>
      <c r="M28" s="5"/>
      <c r="N28" s="5"/>
      <c r="O28" s="5"/>
      <c r="P28" s="5" t="str">
        <f t="shared" si="0"/>
        <v/>
      </c>
      <c r="Q28" s="5"/>
      <c r="R28" s="5"/>
      <c r="S28" s="6"/>
      <c r="T28" s="6" t="str">
        <f t="shared" si="1"/>
        <v/>
      </c>
      <c r="U28" s="5"/>
    </row>
    <row r="29" spans="1:21" x14ac:dyDescent="0.25">
      <c r="A29" s="5"/>
      <c r="B29" s="5"/>
      <c r="C29" s="5"/>
      <c r="D29" s="5"/>
      <c r="E29" s="5"/>
      <c r="F29" s="5"/>
      <c r="G29" s="5"/>
      <c r="H29" s="5"/>
      <c r="I29" s="6"/>
      <c r="J29" s="5"/>
      <c r="K29" s="5"/>
      <c r="L29" s="5"/>
      <c r="M29" s="5"/>
      <c r="N29" s="5"/>
      <c r="O29" s="5"/>
      <c r="P29" s="5" t="str">
        <f t="shared" si="0"/>
        <v/>
      </c>
      <c r="Q29" s="5"/>
      <c r="R29" s="5"/>
      <c r="S29" s="6"/>
      <c r="T29" s="6" t="str">
        <f t="shared" si="1"/>
        <v/>
      </c>
      <c r="U29" s="5"/>
    </row>
    <row r="30" spans="1:21" x14ac:dyDescent="0.25">
      <c r="A30" s="5"/>
      <c r="B30" s="5"/>
      <c r="C30" s="5"/>
      <c r="D30" s="5"/>
      <c r="E30" s="5"/>
      <c r="F30" s="5"/>
      <c r="G30" s="5"/>
      <c r="H30" s="5"/>
      <c r="I30" s="6"/>
      <c r="J30" s="5"/>
      <c r="K30" s="5"/>
      <c r="L30" s="5"/>
      <c r="M30" s="5"/>
      <c r="N30" s="5"/>
      <c r="O30" s="5"/>
      <c r="P30" s="5" t="str">
        <f t="shared" si="0"/>
        <v/>
      </c>
      <c r="Q30" s="5"/>
      <c r="R30" s="5"/>
      <c r="S30" s="6"/>
      <c r="T30" s="6" t="str">
        <f t="shared" si="1"/>
        <v/>
      </c>
      <c r="U30" s="5"/>
    </row>
    <row r="31" spans="1:21" x14ac:dyDescent="0.25">
      <c r="A31" s="5"/>
      <c r="B31" s="5"/>
      <c r="C31" s="5"/>
      <c r="D31" s="5"/>
      <c r="E31" s="5"/>
      <c r="F31" s="5"/>
      <c r="G31" s="5"/>
      <c r="H31" s="5"/>
      <c r="I31" s="6"/>
      <c r="J31" s="5"/>
      <c r="K31" s="5"/>
      <c r="L31" s="5"/>
      <c r="M31" s="5"/>
      <c r="N31" s="5"/>
      <c r="O31" s="5"/>
      <c r="P31" s="5" t="str">
        <f t="shared" si="0"/>
        <v/>
      </c>
      <c r="Q31" s="5"/>
      <c r="R31" s="5"/>
      <c r="S31" s="6"/>
      <c r="T31" s="6" t="str">
        <f t="shared" si="1"/>
        <v/>
      </c>
      <c r="U31" s="5"/>
    </row>
    <row r="32" spans="1:21" x14ac:dyDescent="0.25">
      <c r="A32" s="5"/>
      <c r="B32" s="5"/>
      <c r="C32" s="5"/>
      <c r="D32" s="5"/>
      <c r="E32" s="5"/>
      <c r="F32" s="5"/>
      <c r="G32" s="5"/>
      <c r="H32" s="5"/>
      <c r="I32" s="6"/>
      <c r="J32" s="5"/>
      <c r="K32" s="5"/>
      <c r="L32" s="5"/>
      <c r="M32" s="5"/>
      <c r="N32" s="5"/>
      <c r="O32" s="5"/>
      <c r="P32" s="5" t="str">
        <f t="shared" si="0"/>
        <v/>
      </c>
      <c r="Q32" s="5"/>
      <c r="R32" s="5"/>
      <c r="S32" s="6"/>
      <c r="T32" s="6" t="str">
        <f t="shared" si="1"/>
        <v/>
      </c>
      <c r="U32" s="5"/>
    </row>
    <row r="33" spans="1:21" x14ac:dyDescent="0.25">
      <c r="A33" s="5"/>
      <c r="B33" s="5"/>
      <c r="C33" s="5"/>
      <c r="D33" s="5"/>
      <c r="E33" s="5"/>
      <c r="F33" s="5"/>
      <c r="G33" s="5"/>
      <c r="H33" s="5"/>
      <c r="I33" s="6"/>
      <c r="J33" s="5"/>
      <c r="K33" s="5"/>
      <c r="L33" s="5"/>
      <c r="M33" s="5"/>
      <c r="N33" s="5"/>
      <c r="O33" s="5"/>
      <c r="P33" s="5" t="str">
        <f t="shared" si="0"/>
        <v/>
      </c>
      <c r="Q33" s="5"/>
      <c r="R33" s="5"/>
      <c r="S33" s="6"/>
      <c r="T33" s="6" t="str">
        <f t="shared" si="1"/>
        <v/>
      </c>
      <c r="U33" s="5"/>
    </row>
    <row r="34" spans="1:21" x14ac:dyDescent="0.25">
      <c r="A34" s="5"/>
      <c r="B34" s="5"/>
      <c r="C34" s="5"/>
      <c r="D34" s="5"/>
      <c r="E34" s="5"/>
      <c r="F34" s="5"/>
      <c r="G34" s="5"/>
      <c r="H34" s="5"/>
      <c r="I34" s="6"/>
      <c r="J34" s="5"/>
      <c r="K34" s="5"/>
      <c r="L34" s="5"/>
      <c r="M34" s="5"/>
      <c r="N34" s="5"/>
      <c r="O34" s="5"/>
      <c r="P34" s="5" t="str">
        <f t="shared" si="0"/>
        <v/>
      </c>
      <c r="Q34" s="5"/>
      <c r="R34" s="5"/>
      <c r="S34" s="6"/>
      <c r="T34" s="6" t="str">
        <f t="shared" si="1"/>
        <v/>
      </c>
      <c r="U34" s="5"/>
    </row>
    <row r="35" spans="1:21" x14ac:dyDescent="0.25">
      <c r="A35" s="5"/>
      <c r="B35" s="5"/>
      <c r="C35" s="5"/>
      <c r="D35" s="5"/>
      <c r="E35" s="5"/>
      <c r="F35" s="5"/>
      <c r="G35" s="5"/>
      <c r="H35" s="5"/>
      <c r="I35" s="6"/>
      <c r="J35" s="5"/>
      <c r="K35" s="5"/>
      <c r="L35" s="5"/>
      <c r="M35" s="5"/>
      <c r="N35" s="5"/>
      <c r="O35" s="5"/>
      <c r="P35" s="5" t="str">
        <f t="shared" ref="P35:P60" si="2">IF($A35="","",IF(OR(J35="Si",L35="Si",M35="Si",N35="Si",O35="Si"),"Nivel 3",IF(OR(K35="Departamental",K35="Multi-area",K35="Multi-pais"),"Nivel 2","Nivel 1")))</f>
        <v/>
      </c>
      <c r="Q35" s="5"/>
      <c r="R35" s="5"/>
      <c r="S35" s="6"/>
      <c r="T35" s="6" t="str">
        <f t="shared" ref="T35:T60" si="3">IF(S35="","",IF(OR(P35="Nivel 1",P35="Nivel 2"),S35+180,"N/A"))</f>
        <v/>
      </c>
      <c r="U35" s="5"/>
    </row>
    <row r="36" spans="1:21" x14ac:dyDescent="0.25">
      <c r="A36" s="5"/>
      <c r="B36" s="5"/>
      <c r="C36" s="5"/>
      <c r="D36" s="5"/>
      <c r="E36" s="5"/>
      <c r="F36" s="5"/>
      <c r="G36" s="5"/>
      <c r="H36" s="5"/>
      <c r="I36" s="6"/>
      <c r="J36" s="5"/>
      <c r="K36" s="5"/>
      <c r="L36" s="5"/>
      <c r="M36" s="5"/>
      <c r="N36" s="5"/>
      <c r="O36" s="5"/>
      <c r="P36" s="5" t="str">
        <f t="shared" si="2"/>
        <v/>
      </c>
      <c r="Q36" s="5"/>
      <c r="R36" s="5"/>
      <c r="S36" s="6"/>
      <c r="T36" s="6" t="str">
        <f t="shared" si="3"/>
        <v/>
      </c>
      <c r="U36" s="5"/>
    </row>
    <row r="37" spans="1:21" x14ac:dyDescent="0.25">
      <c r="A37" s="5"/>
      <c r="B37" s="5"/>
      <c r="C37" s="5"/>
      <c r="D37" s="5"/>
      <c r="E37" s="5"/>
      <c r="F37" s="5"/>
      <c r="G37" s="5"/>
      <c r="H37" s="5"/>
      <c r="I37" s="6"/>
      <c r="J37" s="5"/>
      <c r="K37" s="5"/>
      <c r="L37" s="5"/>
      <c r="M37" s="5"/>
      <c r="N37" s="5"/>
      <c r="O37" s="5"/>
      <c r="P37" s="5" t="str">
        <f t="shared" si="2"/>
        <v/>
      </c>
      <c r="Q37" s="5"/>
      <c r="R37" s="5"/>
      <c r="S37" s="6"/>
      <c r="T37" s="6" t="str">
        <f t="shared" si="3"/>
        <v/>
      </c>
      <c r="U37" s="5"/>
    </row>
    <row r="38" spans="1:21" x14ac:dyDescent="0.25">
      <c r="A38" s="5"/>
      <c r="B38" s="5"/>
      <c r="C38" s="5"/>
      <c r="D38" s="5"/>
      <c r="E38" s="5"/>
      <c r="F38" s="5"/>
      <c r="G38" s="5"/>
      <c r="H38" s="5"/>
      <c r="I38" s="6"/>
      <c r="J38" s="5"/>
      <c r="K38" s="5"/>
      <c r="L38" s="5"/>
      <c r="M38" s="5"/>
      <c r="N38" s="5"/>
      <c r="O38" s="5"/>
      <c r="P38" s="5" t="str">
        <f t="shared" si="2"/>
        <v/>
      </c>
      <c r="Q38" s="5"/>
      <c r="R38" s="5"/>
      <c r="S38" s="6"/>
      <c r="T38" s="6" t="str">
        <f t="shared" si="3"/>
        <v/>
      </c>
      <c r="U38" s="5"/>
    </row>
    <row r="39" spans="1:21" x14ac:dyDescent="0.25">
      <c r="A39" s="5"/>
      <c r="B39" s="5"/>
      <c r="C39" s="5"/>
      <c r="D39" s="5"/>
      <c r="E39" s="5"/>
      <c r="F39" s="5"/>
      <c r="G39" s="5"/>
      <c r="H39" s="5"/>
      <c r="I39" s="6"/>
      <c r="J39" s="5"/>
      <c r="K39" s="5"/>
      <c r="L39" s="5"/>
      <c r="M39" s="5"/>
      <c r="N39" s="5"/>
      <c r="O39" s="5"/>
      <c r="P39" s="5" t="str">
        <f t="shared" si="2"/>
        <v/>
      </c>
      <c r="Q39" s="5"/>
      <c r="R39" s="5"/>
      <c r="S39" s="6"/>
      <c r="T39" s="6" t="str">
        <f t="shared" si="3"/>
        <v/>
      </c>
      <c r="U39" s="5"/>
    </row>
    <row r="40" spans="1:21" x14ac:dyDescent="0.25">
      <c r="A40" s="5"/>
      <c r="B40" s="5"/>
      <c r="C40" s="5"/>
      <c r="D40" s="5"/>
      <c r="E40" s="5"/>
      <c r="F40" s="5"/>
      <c r="G40" s="5"/>
      <c r="H40" s="5"/>
      <c r="I40" s="6"/>
      <c r="J40" s="5"/>
      <c r="K40" s="5"/>
      <c r="L40" s="5"/>
      <c r="M40" s="5"/>
      <c r="N40" s="5"/>
      <c r="O40" s="5"/>
      <c r="P40" s="5" t="str">
        <f t="shared" si="2"/>
        <v/>
      </c>
      <c r="Q40" s="5"/>
      <c r="R40" s="5"/>
      <c r="S40" s="6"/>
      <c r="T40" s="6" t="str">
        <f t="shared" si="3"/>
        <v/>
      </c>
      <c r="U40" s="5"/>
    </row>
    <row r="41" spans="1:21" x14ac:dyDescent="0.25">
      <c r="A41" s="5"/>
      <c r="B41" s="5"/>
      <c r="C41" s="5"/>
      <c r="D41" s="5"/>
      <c r="E41" s="5"/>
      <c r="F41" s="5"/>
      <c r="G41" s="5"/>
      <c r="H41" s="5"/>
      <c r="I41" s="6"/>
      <c r="J41" s="5"/>
      <c r="K41" s="5"/>
      <c r="L41" s="5"/>
      <c r="M41" s="5"/>
      <c r="N41" s="5"/>
      <c r="O41" s="5"/>
      <c r="P41" s="5" t="str">
        <f t="shared" si="2"/>
        <v/>
      </c>
      <c r="Q41" s="5"/>
      <c r="R41" s="5"/>
      <c r="S41" s="6"/>
      <c r="T41" s="6" t="str">
        <f t="shared" si="3"/>
        <v/>
      </c>
      <c r="U41" s="5"/>
    </row>
    <row r="42" spans="1:21" x14ac:dyDescent="0.25">
      <c r="A42" s="5"/>
      <c r="B42" s="5"/>
      <c r="C42" s="5"/>
      <c r="D42" s="5"/>
      <c r="E42" s="5"/>
      <c r="F42" s="5"/>
      <c r="G42" s="5"/>
      <c r="H42" s="5"/>
      <c r="I42" s="6"/>
      <c r="J42" s="5"/>
      <c r="K42" s="5"/>
      <c r="L42" s="5"/>
      <c r="M42" s="5"/>
      <c r="N42" s="5"/>
      <c r="O42" s="5"/>
      <c r="P42" s="5" t="str">
        <f t="shared" si="2"/>
        <v/>
      </c>
      <c r="Q42" s="5"/>
      <c r="R42" s="5"/>
      <c r="S42" s="6"/>
      <c r="T42" s="6" t="str">
        <f t="shared" si="3"/>
        <v/>
      </c>
      <c r="U42" s="5"/>
    </row>
    <row r="43" spans="1:21" x14ac:dyDescent="0.25">
      <c r="A43" s="5"/>
      <c r="B43" s="5"/>
      <c r="C43" s="5"/>
      <c r="D43" s="5"/>
      <c r="E43" s="5"/>
      <c r="F43" s="5"/>
      <c r="G43" s="5"/>
      <c r="H43" s="5"/>
      <c r="I43" s="6"/>
      <c r="J43" s="5"/>
      <c r="K43" s="5"/>
      <c r="L43" s="5"/>
      <c r="M43" s="5"/>
      <c r="N43" s="5"/>
      <c r="O43" s="5"/>
      <c r="P43" s="5" t="str">
        <f t="shared" si="2"/>
        <v/>
      </c>
      <c r="Q43" s="5"/>
      <c r="R43" s="5"/>
      <c r="S43" s="6"/>
      <c r="T43" s="6" t="str">
        <f t="shared" si="3"/>
        <v/>
      </c>
      <c r="U43" s="5"/>
    </row>
    <row r="44" spans="1:21" x14ac:dyDescent="0.25">
      <c r="A44" s="5"/>
      <c r="B44" s="5"/>
      <c r="C44" s="5"/>
      <c r="D44" s="5"/>
      <c r="E44" s="5"/>
      <c r="F44" s="5"/>
      <c r="G44" s="5"/>
      <c r="H44" s="5"/>
      <c r="I44" s="6"/>
      <c r="J44" s="5"/>
      <c r="K44" s="5"/>
      <c r="L44" s="5"/>
      <c r="M44" s="5"/>
      <c r="N44" s="5"/>
      <c r="O44" s="5"/>
      <c r="P44" s="5" t="str">
        <f t="shared" si="2"/>
        <v/>
      </c>
      <c r="Q44" s="5"/>
      <c r="R44" s="5"/>
      <c r="S44" s="6"/>
      <c r="T44" s="6" t="str">
        <f t="shared" si="3"/>
        <v/>
      </c>
      <c r="U44" s="5"/>
    </row>
    <row r="45" spans="1:21" x14ac:dyDescent="0.25">
      <c r="A45" s="5"/>
      <c r="B45" s="5"/>
      <c r="C45" s="5"/>
      <c r="D45" s="5"/>
      <c r="E45" s="5"/>
      <c r="F45" s="5"/>
      <c r="G45" s="5"/>
      <c r="H45" s="5"/>
      <c r="I45" s="6"/>
      <c r="J45" s="5"/>
      <c r="K45" s="5"/>
      <c r="L45" s="5"/>
      <c r="M45" s="5"/>
      <c r="N45" s="5"/>
      <c r="O45" s="5"/>
      <c r="P45" s="5" t="str">
        <f t="shared" si="2"/>
        <v/>
      </c>
      <c r="Q45" s="5"/>
      <c r="R45" s="5"/>
      <c r="S45" s="6"/>
      <c r="T45" s="6" t="str">
        <f t="shared" si="3"/>
        <v/>
      </c>
      <c r="U45" s="5"/>
    </row>
    <row r="46" spans="1:21" x14ac:dyDescent="0.25">
      <c r="A46" s="5"/>
      <c r="B46" s="5"/>
      <c r="C46" s="5"/>
      <c r="D46" s="5"/>
      <c r="E46" s="5"/>
      <c r="F46" s="5"/>
      <c r="G46" s="5"/>
      <c r="H46" s="5"/>
      <c r="I46" s="6"/>
      <c r="J46" s="5"/>
      <c r="K46" s="5"/>
      <c r="L46" s="5"/>
      <c r="M46" s="5"/>
      <c r="N46" s="5"/>
      <c r="O46" s="5"/>
      <c r="P46" s="5" t="str">
        <f t="shared" si="2"/>
        <v/>
      </c>
      <c r="Q46" s="5"/>
      <c r="R46" s="5"/>
      <c r="S46" s="6"/>
      <c r="T46" s="6" t="str">
        <f t="shared" si="3"/>
        <v/>
      </c>
      <c r="U46" s="5"/>
    </row>
    <row r="47" spans="1:21" x14ac:dyDescent="0.25">
      <c r="A47" s="5"/>
      <c r="B47" s="5"/>
      <c r="C47" s="5"/>
      <c r="D47" s="5"/>
      <c r="E47" s="5"/>
      <c r="F47" s="5"/>
      <c r="G47" s="5"/>
      <c r="H47" s="5"/>
      <c r="I47" s="6"/>
      <c r="J47" s="5"/>
      <c r="K47" s="5"/>
      <c r="L47" s="5"/>
      <c r="M47" s="5"/>
      <c r="N47" s="5"/>
      <c r="O47" s="5"/>
      <c r="P47" s="5" t="str">
        <f t="shared" si="2"/>
        <v/>
      </c>
      <c r="Q47" s="5"/>
      <c r="R47" s="5"/>
      <c r="S47" s="6"/>
      <c r="T47" s="6" t="str">
        <f t="shared" si="3"/>
        <v/>
      </c>
      <c r="U47" s="5"/>
    </row>
    <row r="48" spans="1:21" x14ac:dyDescent="0.25">
      <c r="A48" s="5"/>
      <c r="B48" s="5"/>
      <c r="C48" s="5"/>
      <c r="D48" s="5"/>
      <c r="E48" s="5"/>
      <c r="F48" s="5"/>
      <c r="G48" s="5"/>
      <c r="H48" s="5"/>
      <c r="I48" s="6"/>
      <c r="J48" s="5"/>
      <c r="K48" s="5"/>
      <c r="L48" s="5"/>
      <c r="M48" s="5"/>
      <c r="N48" s="5"/>
      <c r="O48" s="5"/>
      <c r="P48" s="5" t="str">
        <f t="shared" si="2"/>
        <v/>
      </c>
      <c r="Q48" s="5"/>
      <c r="R48" s="5"/>
      <c r="S48" s="6"/>
      <c r="T48" s="6" t="str">
        <f t="shared" si="3"/>
        <v/>
      </c>
      <c r="U48" s="5"/>
    </row>
    <row r="49" spans="1:21" x14ac:dyDescent="0.25">
      <c r="A49" s="5"/>
      <c r="B49" s="5"/>
      <c r="C49" s="5"/>
      <c r="D49" s="5"/>
      <c r="E49" s="5"/>
      <c r="F49" s="5"/>
      <c r="G49" s="5"/>
      <c r="H49" s="5"/>
      <c r="I49" s="6"/>
      <c r="J49" s="5"/>
      <c r="K49" s="5"/>
      <c r="L49" s="5"/>
      <c r="M49" s="5"/>
      <c r="N49" s="5"/>
      <c r="O49" s="5"/>
      <c r="P49" s="5" t="str">
        <f t="shared" si="2"/>
        <v/>
      </c>
      <c r="Q49" s="5"/>
      <c r="R49" s="5"/>
      <c r="S49" s="6"/>
      <c r="T49" s="6" t="str">
        <f t="shared" si="3"/>
        <v/>
      </c>
      <c r="U49" s="5"/>
    </row>
    <row r="50" spans="1:21" x14ac:dyDescent="0.25">
      <c r="A50" s="5"/>
      <c r="B50" s="5"/>
      <c r="C50" s="5"/>
      <c r="D50" s="5"/>
      <c r="E50" s="5"/>
      <c r="F50" s="5"/>
      <c r="G50" s="5"/>
      <c r="H50" s="5"/>
      <c r="I50" s="6"/>
      <c r="J50" s="5"/>
      <c r="K50" s="5"/>
      <c r="L50" s="5"/>
      <c r="M50" s="5"/>
      <c r="N50" s="5"/>
      <c r="O50" s="5"/>
      <c r="P50" s="5" t="str">
        <f t="shared" si="2"/>
        <v/>
      </c>
      <c r="Q50" s="5"/>
      <c r="R50" s="5"/>
      <c r="S50" s="6"/>
      <c r="T50" s="6" t="str">
        <f t="shared" si="3"/>
        <v/>
      </c>
      <c r="U50" s="5"/>
    </row>
    <row r="51" spans="1:21" x14ac:dyDescent="0.25">
      <c r="A51" s="5"/>
      <c r="B51" s="5"/>
      <c r="C51" s="5"/>
      <c r="D51" s="5"/>
      <c r="E51" s="5"/>
      <c r="F51" s="5"/>
      <c r="G51" s="5"/>
      <c r="H51" s="5"/>
      <c r="I51" s="6"/>
      <c r="J51" s="5"/>
      <c r="K51" s="5"/>
      <c r="L51" s="5"/>
      <c r="M51" s="5"/>
      <c r="N51" s="5"/>
      <c r="O51" s="5"/>
      <c r="P51" s="5" t="str">
        <f t="shared" si="2"/>
        <v/>
      </c>
      <c r="Q51" s="5"/>
      <c r="R51" s="5"/>
      <c r="S51" s="6"/>
      <c r="T51" s="6" t="str">
        <f t="shared" si="3"/>
        <v/>
      </c>
      <c r="U51" s="5"/>
    </row>
    <row r="52" spans="1:21" x14ac:dyDescent="0.25">
      <c r="A52" s="5"/>
      <c r="B52" s="5"/>
      <c r="C52" s="5"/>
      <c r="D52" s="5"/>
      <c r="E52" s="5"/>
      <c r="F52" s="5"/>
      <c r="G52" s="5"/>
      <c r="H52" s="5"/>
      <c r="I52" s="6"/>
      <c r="J52" s="5"/>
      <c r="K52" s="5"/>
      <c r="L52" s="5"/>
      <c r="M52" s="5"/>
      <c r="N52" s="5"/>
      <c r="O52" s="5"/>
      <c r="P52" s="5" t="str">
        <f t="shared" si="2"/>
        <v/>
      </c>
      <c r="Q52" s="5"/>
      <c r="R52" s="5"/>
      <c r="S52" s="6"/>
      <c r="T52" s="6" t="str">
        <f t="shared" si="3"/>
        <v/>
      </c>
      <c r="U52" s="5"/>
    </row>
    <row r="53" spans="1:21" x14ac:dyDescent="0.25">
      <c r="A53" s="5"/>
      <c r="B53" s="5"/>
      <c r="C53" s="5"/>
      <c r="D53" s="5"/>
      <c r="E53" s="5"/>
      <c r="F53" s="5"/>
      <c r="G53" s="5"/>
      <c r="H53" s="5"/>
      <c r="I53" s="6"/>
      <c r="J53" s="5"/>
      <c r="K53" s="5"/>
      <c r="L53" s="5"/>
      <c r="M53" s="5"/>
      <c r="N53" s="5"/>
      <c r="O53" s="5"/>
      <c r="P53" s="5" t="str">
        <f t="shared" si="2"/>
        <v/>
      </c>
      <c r="Q53" s="5"/>
      <c r="R53" s="5"/>
      <c r="S53" s="6"/>
      <c r="T53" s="6" t="str">
        <f t="shared" si="3"/>
        <v/>
      </c>
      <c r="U53" s="5"/>
    </row>
    <row r="54" spans="1:21" x14ac:dyDescent="0.25">
      <c r="A54" s="5"/>
      <c r="B54" s="5"/>
      <c r="C54" s="5"/>
      <c r="D54" s="5"/>
      <c r="E54" s="5"/>
      <c r="F54" s="5"/>
      <c r="G54" s="5"/>
      <c r="H54" s="5"/>
      <c r="I54" s="6"/>
      <c r="J54" s="5"/>
      <c r="K54" s="5"/>
      <c r="L54" s="5"/>
      <c r="M54" s="5"/>
      <c r="N54" s="5"/>
      <c r="O54" s="5"/>
      <c r="P54" s="5" t="str">
        <f t="shared" si="2"/>
        <v/>
      </c>
      <c r="Q54" s="5"/>
      <c r="R54" s="5"/>
      <c r="S54" s="6"/>
      <c r="T54" s="6" t="str">
        <f t="shared" si="3"/>
        <v/>
      </c>
      <c r="U54" s="5"/>
    </row>
    <row r="55" spans="1:21" x14ac:dyDescent="0.25">
      <c r="A55" s="5"/>
      <c r="B55" s="5"/>
      <c r="C55" s="5"/>
      <c r="D55" s="5"/>
      <c r="E55" s="5"/>
      <c r="F55" s="5"/>
      <c r="G55" s="5"/>
      <c r="H55" s="5"/>
      <c r="I55" s="6"/>
      <c r="J55" s="5"/>
      <c r="K55" s="5"/>
      <c r="L55" s="5"/>
      <c r="M55" s="5"/>
      <c r="N55" s="5"/>
      <c r="O55" s="5"/>
      <c r="P55" s="5" t="str">
        <f t="shared" si="2"/>
        <v/>
      </c>
      <c r="Q55" s="5"/>
      <c r="R55" s="5"/>
      <c r="S55" s="6"/>
      <c r="T55" s="6" t="str">
        <f t="shared" si="3"/>
        <v/>
      </c>
      <c r="U55" s="5"/>
    </row>
    <row r="56" spans="1:21" x14ac:dyDescent="0.25">
      <c r="A56" s="5"/>
      <c r="B56" s="5"/>
      <c r="C56" s="5"/>
      <c r="D56" s="5"/>
      <c r="E56" s="5"/>
      <c r="F56" s="5"/>
      <c r="G56" s="5"/>
      <c r="H56" s="5"/>
      <c r="I56" s="6"/>
      <c r="J56" s="5"/>
      <c r="K56" s="5"/>
      <c r="L56" s="5"/>
      <c r="M56" s="5"/>
      <c r="N56" s="5"/>
      <c r="O56" s="5"/>
      <c r="P56" s="5" t="str">
        <f t="shared" si="2"/>
        <v/>
      </c>
      <c r="Q56" s="5"/>
      <c r="R56" s="5"/>
      <c r="S56" s="6"/>
      <c r="T56" s="6" t="str">
        <f t="shared" si="3"/>
        <v/>
      </c>
      <c r="U56" s="5"/>
    </row>
    <row r="57" spans="1:21" x14ac:dyDescent="0.25">
      <c r="A57" s="5"/>
      <c r="B57" s="5"/>
      <c r="C57" s="5"/>
      <c r="D57" s="5"/>
      <c r="E57" s="5"/>
      <c r="F57" s="5"/>
      <c r="G57" s="5"/>
      <c r="H57" s="5"/>
      <c r="I57" s="6"/>
      <c r="J57" s="5"/>
      <c r="K57" s="5"/>
      <c r="L57" s="5"/>
      <c r="M57" s="5"/>
      <c r="N57" s="5"/>
      <c r="O57" s="5"/>
      <c r="P57" s="5" t="str">
        <f t="shared" si="2"/>
        <v/>
      </c>
      <c r="Q57" s="5"/>
      <c r="R57" s="5"/>
      <c r="S57" s="6"/>
      <c r="T57" s="6" t="str">
        <f t="shared" si="3"/>
        <v/>
      </c>
      <c r="U57" s="5"/>
    </row>
    <row r="58" spans="1:21" x14ac:dyDescent="0.25">
      <c r="A58" s="5"/>
      <c r="B58" s="5"/>
      <c r="C58" s="5"/>
      <c r="D58" s="5"/>
      <c r="E58" s="5"/>
      <c r="F58" s="5"/>
      <c r="G58" s="5"/>
      <c r="H58" s="5"/>
      <c r="I58" s="6"/>
      <c r="J58" s="5"/>
      <c r="K58" s="5"/>
      <c r="L58" s="5"/>
      <c r="M58" s="5"/>
      <c r="N58" s="5"/>
      <c r="O58" s="5"/>
      <c r="P58" s="5" t="str">
        <f t="shared" si="2"/>
        <v/>
      </c>
      <c r="Q58" s="5"/>
      <c r="R58" s="5"/>
      <c r="S58" s="6"/>
      <c r="T58" s="6" t="str">
        <f t="shared" si="3"/>
        <v/>
      </c>
      <c r="U58" s="5"/>
    </row>
    <row r="59" spans="1:21" x14ac:dyDescent="0.25">
      <c r="A59" s="5"/>
      <c r="B59" s="5"/>
      <c r="C59" s="5"/>
      <c r="D59" s="5"/>
      <c r="E59" s="5"/>
      <c r="F59" s="5"/>
      <c r="G59" s="5"/>
      <c r="H59" s="5"/>
      <c r="I59" s="6"/>
      <c r="J59" s="5"/>
      <c r="K59" s="5"/>
      <c r="L59" s="5"/>
      <c r="M59" s="5"/>
      <c r="N59" s="5"/>
      <c r="O59" s="5"/>
      <c r="P59" s="5" t="str">
        <f t="shared" si="2"/>
        <v/>
      </c>
      <c r="Q59" s="5"/>
      <c r="R59" s="5"/>
      <c r="S59" s="6"/>
      <c r="T59" s="6" t="str">
        <f t="shared" si="3"/>
        <v/>
      </c>
      <c r="U59" s="5"/>
    </row>
    <row r="60" spans="1:21" x14ac:dyDescent="0.25">
      <c r="A60" s="5"/>
      <c r="B60" s="5"/>
      <c r="C60" s="5"/>
      <c r="D60" s="5"/>
      <c r="E60" s="5"/>
      <c r="F60" s="5"/>
      <c r="G60" s="5"/>
      <c r="H60" s="5"/>
      <c r="I60" s="6"/>
      <c r="J60" s="5"/>
      <c r="K60" s="5"/>
      <c r="L60" s="5"/>
      <c r="M60" s="5"/>
      <c r="N60" s="5"/>
      <c r="O60" s="5"/>
      <c r="P60" s="5" t="str">
        <f t="shared" si="2"/>
        <v/>
      </c>
      <c r="Q60" s="5"/>
      <c r="R60" s="5"/>
      <c r="S60" s="6"/>
      <c r="T60" s="6" t="str">
        <f t="shared" si="3"/>
        <v/>
      </c>
      <c r="U60" s="5"/>
    </row>
  </sheetData>
  <mergeCells count="1">
    <mergeCell ref="A1:U1"/>
  </mergeCells>
  <conditionalFormatting sqref="P3:P60">
    <cfRule type="expression" dxfId="2" priority="2">
      <formula>$P3="Nivel 1"</formula>
    </cfRule>
    <cfRule type="expression" dxfId="1" priority="3">
      <formula>$P3="Nivel 2"</formula>
    </cfRule>
    <cfRule type="expression" dxfId="0" priority="4">
      <formula>$P3="Nivel 3"</formula>
    </cfRule>
  </conditionalFormatting>
  <dataValidations count="8">
    <dataValidation type="list" allowBlank="1" sqref="C3:C60" xr:uid="{00000000-0002-0000-0000-000000000000}">
      <formula1>"Dashboard,Reporte,Automatizacion,Agente de IA,App,Bot,Otro"</formula1>
      <formula2>0</formula2>
    </dataValidation>
    <dataValidation type="list" allowBlank="1" sqref="G3:G60" xr:uid="{00000000-0002-0000-0000-000001000000}">
      <formula1>"Peru,Colombia,Ecuador,Bolivia,Mexico,Guatemala,España,Italia,Corporativo"</formula1>
      <formula2>0</formula2>
    </dataValidation>
    <dataValidation type="list" allowBlank="1" sqref="J3:J60 L3:N60" xr:uid="{00000000-0002-0000-0000-000002000000}">
      <formula1>"Si,No"</formula1>
      <formula2>0</formula2>
    </dataValidation>
    <dataValidation type="list" allowBlank="1" sqref="K3:K60" xr:uid="{00000000-0002-0000-0000-000003000000}">
      <formula1>"Personal,Departamental,Multi-area,Multi-pais"</formula1>
      <formula2>0</formula2>
    </dataValidation>
    <dataValidation type="list" allowBlank="1" sqref="O3:O60" xr:uid="{00000000-0002-0000-0000-000007000000}">
      <formula1>"Si,No,Entorno compartido,Sandbox personal"</formula1>
      <formula2>0</formula2>
    </dataValidation>
    <dataValidation type="list" allowBlank="1" sqref="Q3:Q60" xr:uid="{00000000-0002-0000-0000-000008000000}">
      <formula1>"Registrado,En revision,Aprobado - Comite Citizen Dev,Aprobado - Comite N-1,Rechazado,Reclasificado"</formula1>
      <formula2>0</formula2>
    </dataValidation>
    <dataValidation type="list" allowBlank="1" sqref="R3:R60" xr:uid="{00000000-0002-0000-0000-000009000000}">
      <formula1>"N/A - autoregistro,Comite de Citizen Development,Comite N-1"</formula1>
      <formula2>0</formula2>
    </dataValidation>
    <dataValidation type="list" allowBlank="1" sqref="H3:H60" xr:uid="{00000000-0002-0000-0000-00000A000000}">
      <formula1>PlataformasAprobadas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Normal="100" workbookViewId="0">
      <pane ySplit="2" topLeftCell="A3" activePane="bottomLeft" state="frozen"/>
      <selection pane="bottomLeft" sqref="A1:D1"/>
    </sheetView>
  </sheetViews>
  <sheetFormatPr baseColWidth="10" defaultColWidth="8.7109375" defaultRowHeight="15" x14ac:dyDescent="0.25"/>
  <cols>
    <col min="1" max="1" width="26" customWidth="1"/>
    <col min="2" max="3" width="18" customWidth="1"/>
    <col min="4" max="4" width="42" customWidth="1"/>
  </cols>
  <sheetData>
    <row r="1" spans="1:4" ht="31.5" customHeight="1" x14ac:dyDescent="0.25">
      <c r="A1" s="13" t="s">
        <v>66</v>
      </c>
      <c r="B1" s="13"/>
      <c r="C1" s="13"/>
      <c r="D1" s="13"/>
    </row>
    <row r="2" spans="1:4" ht="19.5" customHeight="1" x14ac:dyDescent="0.25">
      <c r="A2" s="7" t="s">
        <v>67</v>
      </c>
      <c r="B2" s="7" t="s">
        <v>68</v>
      </c>
      <c r="C2" s="7" t="s">
        <v>13</v>
      </c>
      <c r="D2" s="7" t="s">
        <v>69</v>
      </c>
    </row>
    <row r="3" spans="1:4" ht="25.5" x14ac:dyDescent="0.25">
      <c r="A3" s="2" t="s">
        <v>70</v>
      </c>
      <c r="B3" s="2" t="s">
        <v>71</v>
      </c>
      <c r="C3" s="2" t="s">
        <v>72</v>
      </c>
      <c r="D3" s="2" t="s">
        <v>73</v>
      </c>
    </row>
    <row r="4" spans="1:4" x14ac:dyDescent="0.25">
      <c r="A4" s="5"/>
      <c r="B4" s="5"/>
      <c r="C4" s="5"/>
      <c r="D4" s="5"/>
    </row>
    <row r="5" spans="1:4" x14ac:dyDescent="0.25">
      <c r="A5" s="5"/>
      <c r="B5" s="5"/>
      <c r="C5" s="5"/>
      <c r="D5" s="5"/>
    </row>
    <row r="6" spans="1:4" x14ac:dyDescent="0.25">
      <c r="A6" s="5"/>
      <c r="B6" s="5"/>
      <c r="C6" s="5"/>
      <c r="D6" s="5"/>
    </row>
    <row r="7" spans="1:4" x14ac:dyDescent="0.25">
      <c r="A7" s="5"/>
      <c r="B7" s="5"/>
      <c r="C7" s="5"/>
      <c r="D7" s="5"/>
    </row>
    <row r="8" spans="1:4" x14ac:dyDescent="0.25">
      <c r="A8" s="5"/>
      <c r="B8" s="5"/>
      <c r="C8" s="5"/>
      <c r="D8" s="5"/>
    </row>
    <row r="9" spans="1:4" x14ac:dyDescent="0.25">
      <c r="A9" s="5"/>
      <c r="B9" s="5"/>
      <c r="C9" s="5"/>
      <c r="D9" s="5"/>
    </row>
    <row r="10" spans="1:4" x14ac:dyDescent="0.25">
      <c r="A10" s="5"/>
      <c r="B10" s="5"/>
      <c r="C10" s="5"/>
      <c r="D10" s="5"/>
    </row>
    <row r="11" spans="1:4" x14ac:dyDescent="0.25">
      <c r="A11" s="5"/>
      <c r="B11" s="5"/>
      <c r="C11" s="5"/>
      <c r="D11" s="5"/>
    </row>
    <row r="12" spans="1:4" x14ac:dyDescent="0.25">
      <c r="A12" s="5"/>
      <c r="B12" s="5"/>
      <c r="C12" s="5"/>
      <c r="D12" s="5"/>
    </row>
  </sheetData>
  <mergeCells count="1">
    <mergeCell ref="A1:D1"/>
  </mergeCells>
  <dataValidations count="2">
    <dataValidation type="list" allowBlank="1" sqref="B3:B12" xr:uid="{00000000-0002-0000-0100-000000000000}">
      <formula1>"Transversal,Especializada"</formula1>
      <formula2>0</formula2>
    </dataValidation>
    <dataValidation type="list" allowBlank="1" sqref="C3:C12" xr:uid="{00000000-0002-0000-0100-000001000000}">
      <formula1>"Aprobada,En evaluacion,No aprobada"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zoomScaleNormal="100" workbookViewId="0">
      <selection sqref="A1:B1"/>
    </sheetView>
  </sheetViews>
  <sheetFormatPr baseColWidth="10" defaultColWidth="8.7109375" defaultRowHeight="15" x14ac:dyDescent="0.25"/>
  <cols>
    <col min="1" max="1" width="34" customWidth="1"/>
    <col min="2" max="2" width="14" customWidth="1"/>
  </cols>
  <sheetData>
    <row r="1" spans="1:2" ht="16.5" x14ac:dyDescent="0.25">
      <c r="A1" s="14" t="s">
        <v>74</v>
      </c>
      <c r="B1" s="14"/>
    </row>
    <row r="3" spans="1:2" x14ac:dyDescent="0.25">
      <c r="A3" s="8" t="s">
        <v>75</v>
      </c>
      <c r="B3" s="9"/>
    </row>
    <row r="4" spans="1:2" x14ac:dyDescent="0.25">
      <c r="A4" s="10" t="s">
        <v>76</v>
      </c>
      <c r="B4" s="10">
        <f>COUNTIF(Inventario!$P$3:$P$60,"Nivel 1")</f>
        <v>0</v>
      </c>
    </row>
    <row r="5" spans="1:2" x14ac:dyDescent="0.25">
      <c r="A5" s="10" t="s">
        <v>77</v>
      </c>
      <c r="B5" s="10">
        <f>COUNTIF(Inventario!$P$3:$P$60,"Nivel 2")</f>
        <v>1</v>
      </c>
    </row>
    <row r="6" spans="1:2" x14ac:dyDescent="0.25">
      <c r="A6" s="10" t="s">
        <v>78</v>
      </c>
      <c r="B6" s="10">
        <f>COUNTIF(Inventario!$P$3:$P$60,"Nivel 3")</f>
        <v>3</v>
      </c>
    </row>
    <row r="7" spans="1:2" x14ac:dyDescent="0.25">
      <c r="A7" s="11" t="s">
        <v>79</v>
      </c>
      <c r="B7" s="11">
        <f>COUNTA(Inventario!$A$3:$A$60)</f>
        <v>4</v>
      </c>
    </row>
    <row r="9" spans="1:2" x14ac:dyDescent="0.25">
      <c r="A9" s="8" t="s">
        <v>80</v>
      </c>
      <c r="B9" s="9"/>
    </row>
    <row r="10" spans="1:2" x14ac:dyDescent="0.25">
      <c r="A10" s="10" t="s">
        <v>29</v>
      </c>
      <c r="B10" s="10">
        <f>COUNTIF(Inventario!$Q$3:$Q$60,"Registrado")</f>
        <v>1</v>
      </c>
    </row>
    <row r="11" spans="1:2" x14ac:dyDescent="0.25">
      <c r="A11" s="10" t="s">
        <v>41</v>
      </c>
      <c r="B11" s="10">
        <f>COUNTIF(Inventario!$Q$3:$Q$60,"En revision")</f>
        <v>1</v>
      </c>
    </row>
    <row r="12" spans="1:2" x14ac:dyDescent="0.25">
      <c r="A12" s="10" t="s">
        <v>81</v>
      </c>
      <c r="B12" s="10">
        <f>COUNTIF(Inventario!$Q$3:$Q$60,"Aprobado - Comite Citizen Dev")</f>
        <v>0</v>
      </c>
    </row>
    <row r="13" spans="1:2" x14ac:dyDescent="0.25">
      <c r="A13" s="10" t="s">
        <v>53</v>
      </c>
      <c r="B13" s="10">
        <f>COUNTIF(Inventario!$Q$3:$Q$60,"Aprobado - Comite N-1")</f>
        <v>1</v>
      </c>
    </row>
    <row r="14" spans="1:2" x14ac:dyDescent="0.25">
      <c r="A14" s="10" t="s">
        <v>64</v>
      </c>
      <c r="B14" s="10">
        <f>COUNTIF(Inventario!$Q$3:$Q$60,"Rechazado")</f>
        <v>1</v>
      </c>
    </row>
    <row r="15" spans="1:2" x14ac:dyDescent="0.25">
      <c r="A15" s="10" t="s">
        <v>82</v>
      </c>
      <c r="B15" s="10">
        <f>COUNTIF(Inventario!$Q$3:$Q$60,"Reclasificado")</f>
        <v>0</v>
      </c>
    </row>
    <row r="17" spans="1:2" x14ac:dyDescent="0.25">
      <c r="A17" s="8" t="s">
        <v>83</v>
      </c>
      <c r="B17" s="9"/>
    </row>
    <row r="18" spans="1:2" x14ac:dyDescent="0.25">
      <c r="A18" s="10" t="s">
        <v>23</v>
      </c>
      <c r="B18" s="10">
        <f>COUNTIF(Inventario!$F$3:$F$60,"IT Run")</f>
        <v>1</v>
      </c>
    </row>
    <row r="19" spans="1:2" x14ac:dyDescent="0.25">
      <c r="A19" s="10" t="s">
        <v>37</v>
      </c>
      <c r="B19" s="10">
        <f>COUNTIF(Inventario!$F$3:$F$60,"Comercial")</f>
        <v>2</v>
      </c>
    </row>
    <row r="20" spans="1:2" x14ac:dyDescent="0.25">
      <c r="A20" s="10" t="s">
        <v>84</v>
      </c>
      <c r="B20" s="10">
        <f>COUNTIF(Inventario!$F$3:$F$60,"RRHH")</f>
        <v>0</v>
      </c>
    </row>
    <row r="21" spans="1:2" x14ac:dyDescent="0.25">
      <c r="A21" s="10" t="s">
        <v>61</v>
      </c>
      <c r="B21" s="10">
        <f>COUNTIF(Inventario!$F$3:$F$60,"Atencion al cliente")</f>
        <v>1</v>
      </c>
    </row>
    <row r="22" spans="1:2" x14ac:dyDescent="0.25">
      <c r="A22" s="10" t="s">
        <v>85</v>
      </c>
      <c r="B22" s="10">
        <f>COUNTIF(Inventario!$F$3:$F$60,"Marketing")</f>
        <v>0</v>
      </c>
    </row>
    <row r="23" spans="1:2" x14ac:dyDescent="0.25">
      <c r="A23" s="10" t="s">
        <v>86</v>
      </c>
      <c r="B23" s="10">
        <f>COUNTIF(Inventario!$F$3:$F$60,"Finanzas")</f>
        <v>0</v>
      </c>
    </row>
    <row r="25" spans="1:2" x14ac:dyDescent="0.25">
      <c r="A25" s="8" t="s">
        <v>87</v>
      </c>
      <c r="B25" s="9"/>
    </row>
    <row r="26" spans="1:2" x14ac:dyDescent="0.25">
      <c r="A26" s="10" t="s">
        <v>88</v>
      </c>
      <c r="B26" s="10">
        <f ca="1">SUMPRODUCT((ISNUMBER(Inventario!$T$3:$T$60))*(Inventario!$T$3:$T$60&lt;TODAY()))</f>
        <v>1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Inventario</vt:lpstr>
      <vt:lpstr>Catalogo de plataformas</vt:lpstr>
      <vt:lpstr>Resumen</vt:lpstr>
      <vt:lpstr>PlataformasAprobadas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Castro</cp:lastModifiedBy>
  <cp:revision>0</cp:revision>
  <dcterms:created xsi:type="dcterms:W3CDTF">2026-08-24T17:08:12Z</dcterms:created>
  <dcterms:modified xsi:type="dcterms:W3CDTF">2026-09-03T20:06:00Z</dcterms:modified>
  <dc:language>en-US</dc:language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3-Secreta</vt:lpwstr>
  </op:property>
</op:Properties>
</file>